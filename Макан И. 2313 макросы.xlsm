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C4" i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<sst xmlns="http://schemas.openxmlformats.org/spreadsheetml/2006/main" count="12" uniqueCount="11">
  <si>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</si>
  <si>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</si>
  <si>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</si>
  <si>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</si>
  <si>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</si>
  <si>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</si>
  <si>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</si>
  <si>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</si>
  <si>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 start</t>
  </si>
  <si>
    <t>T end</t>
  </si>
  <si>
    <t>T 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</si>
</sst>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.0000"/>
    <numFmt numFmtId="169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1" xfId="0" applyBorder="1"/>
    <xf numFmtId="169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555504"/>
        <c:axId val="380554328"/>
      </c:scatterChart>
      <c:valAx>
        <c:axId val="3805555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0554328"/>
        <c:crosses val="autoZero"/>
        <c:crossBetween val="midCat"/>
      </c:valAx>
      <c:valAx>
        <c:axId val="38055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055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17</xdr:row>
      <xdr:rowOff>4762</xdr:rowOff>
    </xdr:from>
    <xdr:to>
      <xdr:col>13</xdr:col>
      <xdr:colOff>285750</xdr:colOff>
      <xdr:row>34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209550</xdr:colOff>
      <xdr:row>16</xdr:row>
      <xdr:rowOff>61912</xdr:rowOff>
    </xdr:from>
    <xdr:ext cx="394916" cy="21916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/>
            <xdr:cNvSpPr txBox="1"/>
          </xdr:nvSpPr>
          <xdr:spPr>
            <a:xfrm>
              <a:off x="3124200" y="3109912"/>
              <a:ext cx="39491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>
                  <a:ea typeface="Cambria Math" panose="02040503050406030204" pitchFamily="18" charset="0"/>
                </a:rPr>
                <a:t>T</a:t>
              </a:r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,</m:t>
                  </m:r>
                  <m:d>
                    <m:dPr>
                      <m:begChr m:val="["/>
                      <m:endChr m:val="]"/>
                      <m:ctrlPr>
                        <a:rPr lang="en-US" sz="1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𝐶</m:t>
                      </m:r>
                    </m:e>
                  </m:d>
                </m:oMath>
              </a14:m>
              <a:endParaRPr lang="ru-RU" sz="1400"/>
            </a:p>
          </xdr:txBody>
        </xdr:sp>
      </mc:Choice>
      <mc:Fallback>
        <xdr:sp macro="" textlink="">
          <xdr:nvSpPr>
            <xdr:cNvPr id="3" name="TextBox 2"/>
            <xdr:cNvSpPr txBox="1"/>
          </xdr:nvSpPr>
          <xdr:spPr>
            <a:xfrm>
              <a:off x="3124200" y="3109912"/>
              <a:ext cx="394916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0">
                  <a:ea typeface="Cambria Math" panose="02040503050406030204" pitchFamily="18" charset="0"/>
                </a:rPr>
                <a:t>T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,[𝐶]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13</xdr:col>
      <xdr:colOff>85725</xdr:colOff>
      <xdr:row>31</xdr:row>
      <xdr:rowOff>185737</xdr:rowOff>
    </xdr:from>
    <xdr:ext cx="532390" cy="250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6505575" y="6091237"/>
              <a:ext cx="53239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𝒍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6505575" y="6091237"/>
              <a:ext cx="532390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600" b="1" i="0">
                  <a:latin typeface="Cambria Math" panose="02040503050406030204" pitchFamily="18" charset="0"/>
                </a:rPr>
                <a:t>𝒍,[𝒎]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5"/>
  <sheetViews>
    <sheetView tabSelected="1" topLeftCell="A4" zoomScaleNormal="100" workbookViewId="0">
      <selection activeCell="T24" sqref="T24"/>
    </sheetView>
  </sheetViews>
  <sheetFormatPr defaultRowHeight="15" x14ac:dyDescent="0.25"/>
  <cols>
    <col min="3" max="3" width="10.5703125" bestFit="1" customWidth="1"/>
    <col min="5" max="5" width="5.7109375" customWidth="1"/>
    <col min="6" max="7" width="6.5703125" bestFit="1" customWidth="1"/>
    <col min="8" max="8" width="6.5703125" customWidth="1"/>
    <col min="9" max="35" width="6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5">
        <f>C3/30</f>
        <v>3.3333333333333335E-3</v>
      </c>
    </row>
    <row r="5" spans="2:36" x14ac:dyDescent="0.25">
      <c r="B5" s="2" t="s">
        <v>2</v>
      </c>
      <c r="C5" s="5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5000.2333333333345</v>
      </c>
      <c r="G6" s="4"/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F12+$C4</f>
        <v>3.3333333333333335E-3</v>
      </c>
      <c r="H12" s="3">
        <f>G12+$C4</f>
        <v>6.6666666666666671E-3</v>
      </c>
      <c r="I12" s="3">
        <f>H12+$C4</f>
        <v>0.01</v>
      </c>
      <c r="J12" s="3">
        <f>I12+$C4</f>
        <v>1.3333333333333334E-2</v>
      </c>
      <c r="K12" s="3">
        <f>J12+$C4</f>
        <v>1.6666666666666666E-2</v>
      </c>
      <c r="L12" s="3">
        <f>K12+$C4</f>
        <v>0.02</v>
      </c>
      <c r="M12" s="3">
        <f>L12+$C4</f>
        <v>2.3333333333333334E-2</v>
      </c>
      <c r="N12" s="3">
        <f>M12+$C4</f>
        <v>2.6666666666666668E-2</v>
      </c>
      <c r="O12" s="3">
        <f>N12+$C4</f>
        <v>3.0000000000000002E-2</v>
      </c>
      <c r="P12" s="3">
        <f>O12+$C4</f>
        <v>3.3333333333333333E-2</v>
      </c>
      <c r="Q12" s="3">
        <f>P12+$C4</f>
        <v>3.6666666666666667E-2</v>
      </c>
      <c r="R12" s="3">
        <f>Q12+$C4</f>
        <v>0.04</v>
      </c>
      <c r="S12" s="3">
        <f>R12+$C4</f>
        <v>4.3333333333333335E-2</v>
      </c>
      <c r="T12" s="3">
        <f>S12+$C4</f>
        <v>4.6666666666666669E-2</v>
      </c>
      <c r="U12" s="3">
        <f>T12+$C4</f>
        <v>0.05</v>
      </c>
      <c r="V12" s="3">
        <f>U12+$C4</f>
        <v>5.3333333333333337E-2</v>
      </c>
      <c r="W12" s="3">
        <f>V12+$C4</f>
        <v>5.6666666666666671E-2</v>
      </c>
      <c r="X12" s="3">
        <f>W12+$C4</f>
        <v>6.0000000000000005E-2</v>
      </c>
      <c r="Y12" s="3">
        <f>X12+$C4</f>
        <v>6.3333333333333339E-2</v>
      </c>
      <c r="Z12" s="3">
        <f>Y12+$C4</f>
        <v>6.6666666666666666E-2</v>
      </c>
      <c r="AA12" s="3">
        <f>Z12+$C4</f>
        <v>6.9999999999999993E-2</v>
      </c>
      <c r="AB12" s="3">
        <f>AA12+$C4</f>
        <v>7.333333333333332E-2</v>
      </c>
      <c r="AC12" s="3">
        <f>AB12+$C4</f>
        <v>7.6666666666666647E-2</v>
      </c>
      <c r="AD12" s="3">
        <f>AC12+$C4</f>
        <v>7.9999999999999974E-2</v>
      </c>
      <c r="AE12" s="3">
        <f>AD12+$C4</f>
        <v>8.3333333333333301E-2</v>
      </c>
      <c r="AF12" s="3">
        <f>AE12+$C4</f>
        <v>8.6666666666666628E-2</v>
      </c>
      <c r="AG12" s="3">
        <f>AF12+$C4</f>
        <v>8.9999999999999955E-2</v>
      </c>
      <c r="AH12" s="3">
        <f>AG12+$C4</f>
        <v>9.3333333333333282E-2</v>
      </c>
      <c r="AI12" s="3">
        <f>AH12+$C4</f>
        <v>9.6666666666666609E-2</v>
      </c>
      <c r="AJ12" s="3">
        <f>AI12+$C4</f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>
        <f>C12</f>
        <v>300</v>
      </c>
      <c r="G13">
        <v>293.33333333333297</v>
      </c>
      <c r="H13">
        <v>286.66666666666595</v>
      </c>
      <c r="I13">
        <v>279.99999999999898</v>
      </c>
      <c r="J13">
        <v>273.33333333333206</v>
      </c>
      <c r="K13">
        <v>266.66666666666515</v>
      </c>
      <c r="L13">
        <v>259.99999999999829</v>
      </c>
      <c r="M13">
        <v>253.3333333333315</v>
      </c>
      <c r="N13">
        <v>246.66666666666472</v>
      </c>
      <c r="O13">
        <v>239.99999999999795</v>
      </c>
      <c r="P13">
        <v>233.33333333333121</v>
      </c>
      <c r="Q13">
        <v>226.6666666666645</v>
      </c>
      <c r="R13">
        <v>219.99999999999778</v>
      </c>
      <c r="S13">
        <v>213.3333333333311</v>
      </c>
      <c r="T13">
        <v>206.66666666666444</v>
      </c>
      <c r="U13">
        <v>199.99999999999778</v>
      </c>
      <c r="V13">
        <v>193.33333333333115</v>
      </c>
      <c r="W13">
        <v>186.66666666666453</v>
      </c>
      <c r="X13">
        <v>179.99999999999793</v>
      </c>
      <c r="Y13">
        <v>173.33333333333132</v>
      </c>
      <c r="Z13">
        <v>166.66666666666475</v>
      </c>
      <c r="AA13">
        <v>159.99999999999821</v>
      </c>
      <c r="AB13">
        <v>153.33333333333167</v>
      </c>
      <c r="AC13">
        <v>146.66666666666515</v>
      </c>
      <c r="AD13">
        <v>139.99999999999866</v>
      </c>
      <c r="AE13">
        <v>133.33333333333218</v>
      </c>
      <c r="AF13">
        <v>126.66666666666573</v>
      </c>
      <c r="AG13">
        <v>119.99999999999929</v>
      </c>
      <c r="AH13">
        <v>113.33333333333286</v>
      </c>
      <c r="AI13">
        <v>106.66666666666643</v>
      </c>
      <c r="AJ13">
        <f>C13</f>
        <v>100</v>
      </c>
    </row>
    <row r="14" spans="2:36" x14ac:dyDescent="0.25">
      <c r="B14" s="1"/>
    </row>
    <row r="15" spans="2:36" x14ac:dyDescent="0.25">
      <c r="E15" t="s">
        <v>10</v>
      </c>
      <c r="G15" s="1">
        <f>G13+(($C$10*$C$5)/($C$9*$C$8))*((H13-2*G13+F13)/($C$4^2))</f>
        <v>293.33333333333297</v>
      </c>
      <c r="H15" s="1">
        <f t="shared" ref="H15:AI15" si="0">H13+(($C$10*$C$5)/($C$9*$C$8))*((I13-2*H13+G13)/($C$4^2))</f>
        <v>286.66666666666595</v>
      </c>
      <c r="I15" s="1">
        <f t="shared" si="0"/>
        <v>279.99999999999898</v>
      </c>
      <c r="J15" s="1">
        <f t="shared" si="0"/>
        <v>273.33333333333206</v>
      </c>
      <c r="K15" s="1">
        <f t="shared" si="0"/>
        <v>266.66666666666515</v>
      </c>
      <c r="L15" s="1">
        <f t="shared" si="0"/>
        <v>259.99999999999829</v>
      </c>
      <c r="M15" s="1">
        <f t="shared" si="0"/>
        <v>253.3333333333315</v>
      </c>
      <c r="N15" s="1">
        <f t="shared" si="0"/>
        <v>246.66666666666472</v>
      </c>
      <c r="O15" s="1">
        <f t="shared" si="0"/>
        <v>239.99999999999795</v>
      </c>
      <c r="P15" s="1">
        <f t="shared" si="0"/>
        <v>233.33333333333121</v>
      </c>
      <c r="Q15" s="1">
        <f t="shared" si="0"/>
        <v>226.6666666666645</v>
      </c>
      <c r="R15" s="1">
        <f t="shared" si="0"/>
        <v>219.99999999999778</v>
      </c>
      <c r="S15" s="1">
        <f t="shared" si="0"/>
        <v>213.3333333333311</v>
      </c>
      <c r="T15" s="1">
        <f t="shared" si="0"/>
        <v>206.66666666666444</v>
      </c>
      <c r="U15" s="1">
        <f t="shared" si="0"/>
        <v>199.99999999999778</v>
      </c>
      <c r="V15" s="1">
        <f t="shared" si="0"/>
        <v>193.33333333333115</v>
      </c>
      <c r="W15" s="1">
        <f t="shared" si="0"/>
        <v>186.66666666666453</v>
      </c>
      <c r="X15" s="1">
        <f t="shared" si="0"/>
        <v>179.99999999999793</v>
      </c>
      <c r="Y15" s="1">
        <f t="shared" si="0"/>
        <v>173.33333333333132</v>
      </c>
      <c r="Z15" s="1">
        <f t="shared" si="0"/>
        <v>166.66666666666475</v>
      </c>
      <c r="AA15" s="1">
        <f t="shared" si="0"/>
        <v>159.99999999999821</v>
      </c>
      <c r="AB15" s="1">
        <f t="shared" si="0"/>
        <v>153.33333333333167</v>
      </c>
      <c r="AC15" s="1">
        <f t="shared" si="0"/>
        <v>146.66666666666515</v>
      </c>
      <c r="AD15" s="1">
        <f t="shared" si="0"/>
        <v>139.99999999999866</v>
      </c>
      <c r="AE15" s="1">
        <f t="shared" si="0"/>
        <v>133.33333333333218</v>
      </c>
      <c r="AF15" s="1">
        <f t="shared" si="0"/>
        <v>126.66666666666573</v>
      </c>
      <c r="AG15" s="1">
        <f t="shared" si="0"/>
        <v>119.99999999999929</v>
      </c>
      <c r="AH15" s="1">
        <f t="shared" si="0"/>
        <v>113.33333333333286</v>
      </c>
      <c r="AI15" s="1">
        <f t="shared" si="0"/>
        <v>106.66666666666643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2021-09-07T09:08:31Z</dcterms:modified>
</cp:coreProperties>
</file>